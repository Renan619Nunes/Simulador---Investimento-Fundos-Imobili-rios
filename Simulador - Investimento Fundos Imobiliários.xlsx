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5afb7fd3d8ec34/Documentos/Projetos/"/>
    </mc:Choice>
  </mc:AlternateContent>
  <xr:revisionPtr revIDLastSave="2" documentId="8_{B5FE5C51-054F-40BA-8FEB-3A2D1124B0B7}" xr6:coauthVersionLast="47" xr6:coauthVersionMax="47" xr10:uidLastSave="{3C608125-D4DA-46B9-9598-8728B3B68658}"/>
  <bookViews>
    <workbookView xWindow="-108" yWindow="-108" windowWidth="23256" windowHeight="12456" tabRatio="0" xr2:uid="{CC45A852-270E-47B1-852E-7CCDA041AFB8}"/>
  </bookViews>
  <sheets>
    <sheet name="Planilha1" sheetId="1" r:id="rId1"/>
    <sheet name="Planilha2" sheetId="2" r:id="rId2"/>
  </sheets>
  <definedNames>
    <definedName name="dividendos_mensais">Planilha1!$D$27</definedName>
    <definedName name="Investimento">Planilha1!$D$23</definedName>
    <definedName name="patrimonio_acumulado">Planilha1!$D$26</definedName>
    <definedName name="qtd_anos">Planilha1!$D$24</definedName>
    <definedName name="rendimento_carteira">Planilha1!$D$19</definedName>
    <definedName name="salario">Planilha1!$D$18</definedName>
    <definedName name="Sugestao_investimento">Planilha1!$D$20</definedName>
    <definedName name="Taxa_mensal">Planilha1!$D$25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0" i="1" l="1"/>
  <c r="D40" i="1" s="1"/>
  <c r="C41" i="1"/>
  <c r="C42" i="1"/>
  <c r="C43" i="1"/>
  <c r="C44" i="1"/>
  <c r="C45" i="1"/>
  <c r="B9" i="2"/>
  <c r="B10" i="2"/>
  <c r="B11" i="2"/>
  <c r="B12" i="2"/>
  <c r="B13" i="2"/>
  <c r="B14" i="2"/>
  <c r="B15" i="2"/>
  <c r="B16" i="2"/>
  <c r="B17" i="2"/>
  <c r="B18" i="2"/>
  <c r="B19" i="2"/>
  <c r="B20" i="2"/>
  <c r="B4" i="2"/>
  <c r="B5" i="2"/>
  <c r="B6" i="2"/>
  <c r="B7" i="2"/>
  <c r="B8" i="2"/>
  <c r="B3" i="2"/>
  <c r="C31" i="1"/>
  <c r="D31" i="1" s="1"/>
  <c r="C32" i="1"/>
  <c r="D32" i="1" s="1"/>
  <c r="C33" i="1"/>
  <c r="D33" i="1" s="1"/>
  <c r="C30" i="1"/>
  <c r="D30" i="1" s="1"/>
  <c r="D26" i="1"/>
  <c r="D27" i="1" s="1"/>
  <c r="D20" i="1"/>
  <c r="D45" i="1" l="1"/>
  <c r="D44" i="1"/>
  <c r="D43" i="1"/>
  <c r="D42" i="1"/>
  <c r="D41" i="1"/>
  <c r="D46" i="1" l="1"/>
</calcChain>
</file>

<file path=xl/sharedStrings.xml><?xml version="1.0" encoding="utf-8"?>
<sst xmlns="http://schemas.openxmlformats.org/spreadsheetml/2006/main" count="70" uniqueCount="34">
  <si>
    <t>INVESTIMENTO MENSAL</t>
  </si>
  <si>
    <t>Anos</t>
  </si>
  <si>
    <t>Patrimônio Acumulado</t>
  </si>
  <si>
    <t>02 anos</t>
  </si>
  <si>
    <t>05 anos</t>
  </si>
  <si>
    <t>10 anos</t>
  </si>
  <si>
    <t>20 anos</t>
  </si>
  <si>
    <t>CENÁRIOS FUTUROS</t>
  </si>
  <si>
    <t>DIVIDENDOS</t>
  </si>
  <si>
    <t>CONFIGURAÇÕES</t>
  </si>
  <si>
    <t>Rendimento Carteira</t>
  </si>
  <si>
    <t>Rendimento Mensal</t>
  </si>
  <si>
    <t>Dividendos Mensais</t>
  </si>
  <si>
    <t>Investimento/Mês</t>
  </si>
  <si>
    <t>Salário</t>
  </si>
  <si>
    <t>Sugestão Investimento</t>
  </si>
  <si>
    <t xml:space="preserve"> </t>
  </si>
  <si>
    <t>Perfil</t>
  </si>
  <si>
    <t>AGRESSIVO</t>
  </si>
  <si>
    <t>CONSERVADOR</t>
  </si>
  <si>
    <t>Valor investido/mês</t>
  </si>
  <si>
    <t>PERFIL</t>
  </si>
  <si>
    <t>Tipo Fundo Imobiliário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</si>
  <si>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</si>
  <si>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</si>
  <si>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</si>
  <si>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</si>
  <si>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</si>
  <si>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</si>
  <si>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</si>
  <si>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</si>
  <si>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%</t>
  </si>
  <si>
    <t>Chave</t>
  </si>
  <si>
    <t>MODERADO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</si>
</sst>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8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rgb="FF2ACB8E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2ACB8E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4343C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theme="2" tint="-9.9948118533890809E-2"/>
      </right>
      <top style="medium">
        <color theme="2" tint="-9.9948118533890809E-2"/>
      </top>
      <bottom style="medium">
        <color theme="2" tint="-9.9948118533890809E-2"/>
      </bottom>
      <diagonal/>
    </border>
    <border>
      <left style="medium">
        <color indexed="64"/>
      </left>
      <right style="medium">
        <color theme="2" tint="-9.9948118533890809E-2"/>
      </right>
      <top style="medium">
        <color theme="2" tint="-9.9948118533890809E-2"/>
      </top>
      <bottom style="medium">
        <color indexed="64"/>
      </bottom>
      <diagonal/>
    </border>
    <border>
      <left style="medium">
        <color indexed="64"/>
      </left>
      <right style="medium">
        <color theme="2" tint="-9.9948118533890809E-2"/>
      </right>
      <top style="medium">
        <color indexed="64"/>
      </top>
      <bottom style="medium">
        <color theme="2" tint="-9.9948118533890809E-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theme="2" tint="-9.9948118533890809E-2"/>
      </left>
      <right/>
      <top style="medium">
        <color theme="2" tint="-9.9948118533890809E-2"/>
      </top>
      <bottom style="medium">
        <color theme="2" tint="-9.9948118533890809E-2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theme="2" tint="-9.9948118533890809E-2"/>
      </left>
      <right/>
      <top style="medium">
        <color indexed="64"/>
      </top>
      <bottom style="medium">
        <color theme="2" tint="-9.9948118533890809E-2"/>
      </bottom>
      <diagonal/>
    </border>
    <border>
      <left style="medium">
        <color theme="2" tint="-9.9948118533890809E-2"/>
      </left>
      <right/>
      <top style="medium">
        <color theme="2" tint="-9.9948118533890809E-2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theme="2" tint="-9.9948118533890809E-2"/>
      </bottom>
      <diagonal/>
    </border>
    <border>
      <left style="medium">
        <color indexed="64"/>
      </left>
      <right style="medium">
        <color indexed="64"/>
      </right>
      <top style="medium">
        <color theme="2" tint="-9.9948118533890809E-2"/>
      </top>
      <bottom style="medium">
        <color theme="2" tint="-9.9948118533890809E-2"/>
      </bottom>
      <diagonal/>
    </border>
    <border>
      <left style="medium">
        <color indexed="64"/>
      </left>
      <right style="medium">
        <color indexed="64"/>
      </right>
      <top style="medium">
        <color theme="2" tint="-9.9948118533890809E-2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theme="2" tint="-9.9948118533890809E-2"/>
      </bottom>
      <diagonal/>
    </border>
    <border>
      <left style="medium">
        <color indexed="64"/>
      </left>
      <right/>
      <top style="medium">
        <color theme="2" tint="-9.9948118533890809E-2"/>
      </top>
      <bottom style="medium">
        <color theme="2" tint="-9.9948118533890809E-2"/>
      </bottom>
      <diagonal/>
    </border>
    <border>
      <left style="medium">
        <color indexed="64"/>
      </left>
      <right/>
      <top style="medium">
        <color theme="2" tint="-9.9948118533890809E-2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theme="2" tint="-9.9948118533890809E-2"/>
      </bottom>
      <diagonal/>
    </border>
    <border>
      <left/>
      <right/>
      <top/>
      <bottom style="medium">
        <color theme="2" tint="-9.9948118533890809E-2"/>
      </bottom>
      <diagonal/>
    </border>
    <border>
      <left/>
      <right/>
      <top style="medium">
        <color theme="2" tint="-9.9948118533890809E-2"/>
      </top>
      <bottom style="medium">
        <color theme="2" tint="-9.9948118533890809E-2"/>
      </bottom>
      <diagonal/>
    </border>
    <border>
      <left/>
      <right/>
      <top style="medium">
        <color theme="2" tint="-9.9948118533890809E-2"/>
      </top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4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/>
    </xf>
    <xf numFmtId="0" fontId="5" fillId="4" borderId="10" xfId="0" applyFont="1" applyFill="1" applyBorder="1" applyAlignment="1">
      <alignment vertical="center"/>
    </xf>
    <xf numFmtId="0" fontId="5" fillId="4" borderId="8" xfId="0" applyFont="1" applyFill="1" applyBorder="1" applyAlignment="1">
      <alignment horizontal="center" vertical="center"/>
    </xf>
    <xf numFmtId="164" fontId="6" fillId="3" borderId="12" xfId="0" applyNumberFormat="1" applyFont="1" applyFill="1" applyBorder="1" applyAlignment="1">
      <alignment horizontal="center"/>
    </xf>
    <xf numFmtId="164" fontId="6" fillId="3" borderId="16" xfId="0" applyNumberFormat="1" applyFont="1" applyFill="1" applyBorder="1" applyAlignment="1">
      <alignment horizontal="center" vertical="center"/>
    </xf>
    <xf numFmtId="164" fontId="6" fillId="3" borderId="9" xfId="0" applyNumberFormat="1" applyFont="1" applyFill="1" applyBorder="1" applyAlignment="1">
      <alignment horizontal="center"/>
    </xf>
    <xf numFmtId="164" fontId="6" fillId="3" borderId="17" xfId="0" applyNumberFormat="1" applyFont="1" applyFill="1" applyBorder="1" applyAlignment="1">
      <alignment horizontal="center" vertical="center"/>
    </xf>
    <xf numFmtId="164" fontId="6" fillId="3" borderId="13" xfId="0" applyNumberFormat="1" applyFont="1" applyFill="1" applyBorder="1" applyAlignment="1">
      <alignment horizontal="center"/>
    </xf>
    <xf numFmtId="164" fontId="6" fillId="3" borderId="18" xfId="0" applyNumberFormat="1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vertical="center"/>
    </xf>
    <xf numFmtId="0" fontId="4" fillId="3" borderId="7" xfId="0" applyFont="1" applyFill="1" applyBorder="1" applyAlignment="1">
      <alignment horizontal="left" indent="5"/>
    </xf>
    <xf numFmtId="0" fontId="4" fillId="3" borderId="5" xfId="0" applyFont="1" applyFill="1" applyBorder="1" applyAlignment="1">
      <alignment horizontal="left" indent="5"/>
    </xf>
    <xf numFmtId="0" fontId="4" fillId="3" borderId="6" xfId="0" applyFont="1" applyFill="1" applyBorder="1" applyAlignment="1">
      <alignment horizontal="left" indent="5"/>
    </xf>
    <xf numFmtId="164" fontId="4" fillId="0" borderId="22" xfId="0" applyNumberFormat="1" applyFont="1" applyBorder="1" applyAlignment="1">
      <alignment horizontal="center" vertical="center"/>
    </xf>
    <xf numFmtId="10" fontId="4" fillId="0" borderId="17" xfId="0" applyNumberFormat="1" applyFont="1" applyBorder="1" applyAlignment="1">
      <alignment horizontal="center" vertical="center"/>
    </xf>
    <xf numFmtId="164" fontId="4" fillId="0" borderId="18" xfId="0" applyNumberFormat="1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1" fillId="2" borderId="0" xfId="1" applyAlignment="1">
      <alignment horizontal="left"/>
    </xf>
    <xf numFmtId="0" fontId="1" fillId="2" borderId="0" xfId="1"/>
    <xf numFmtId="0" fontId="0" fillId="3" borderId="0" xfId="0" applyFill="1"/>
    <xf numFmtId="0" fontId="1" fillId="2" borderId="0" xfId="1" applyAlignment="1">
      <alignment horizontal="center"/>
    </xf>
    <xf numFmtId="164" fontId="2" fillId="3" borderId="0" xfId="0" applyNumberFormat="1" applyFont="1" applyFill="1" applyAlignment="1">
      <alignment horizontal="center"/>
    </xf>
    <xf numFmtId="0" fontId="0" fillId="4" borderId="0" xfId="0" applyFill="1"/>
    <xf numFmtId="0" fontId="2" fillId="4" borderId="0" xfId="0" applyFont="1" applyFill="1"/>
    <xf numFmtId="164" fontId="7" fillId="4" borderId="0" xfId="0" applyNumberFormat="1" applyFont="1" applyFill="1"/>
    <xf numFmtId="0" fontId="7" fillId="4" borderId="0" xfId="0" applyFont="1" applyFill="1" applyAlignment="1">
      <alignment horizontal="center"/>
    </xf>
    <xf numFmtId="9" fontId="2" fillId="0" borderId="0" xfId="0" applyNumberFormat="1" applyFont="1" applyAlignment="1">
      <alignment horizontal="center"/>
    </xf>
    <xf numFmtId="164" fontId="0" fillId="3" borderId="0" xfId="0" applyNumberFormat="1" applyFill="1" applyAlignment="1">
      <alignment horizontal="center"/>
    </xf>
    <xf numFmtId="0" fontId="0" fillId="0" borderId="15" xfId="0" applyBorder="1"/>
    <xf numFmtId="0" fontId="0" fillId="0" borderId="15" xfId="0" applyBorder="1" applyAlignment="1">
      <alignment horizontal="center"/>
    </xf>
    <xf numFmtId="9" fontId="2" fillId="0" borderId="15" xfId="0" applyNumberFormat="1" applyFont="1" applyBorder="1" applyAlignment="1">
      <alignment horizontal="center"/>
    </xf>
    <xf numFmtId="0" fontId="4" fillId="3" borderId="20" xfId="0" applyFont="1" applyFill="1" applyBorder="1" applyAlignment="1">
      <alignment horizontal="left" vertical="center" indent="5"/>
    </xf>
    <xf numFmtId="0" fontId="4" fillId="3" borderId="24" xfId="0" applyFont="1" applyFill="1" applyBorder="1" applyAlignment="1">
      <alignment horizontal="left" vertical="center" indent="5"/>
    </xf>
    <xf numFmtId="0" fontId="6" fillId="3" borderId="20" xfId="0" applyFont="1" applyFill="1" applyBorder="1" applyAlignment="1">
      <alignment horizontal="left" vertical="center" indent="5"/>
    </xf>
    <xf numFmtId="0" fontId="6" fillId="3" borderId="24" xfId="0" applyFont="1" applyFill="1" applyBorder="1" applyAlignment="1">
      <alignment horizontal="left" vertical="center" indent="5"/>
    </xf>
    <xf numFmtId="0" fontId="6" fillId="3" borderId="21" xfId="0" applyFont="1" applyFill="1" applyBorder="1" applyAlignment="1">
      <alignment horizontal="left" vertical="center" indent="5"/>
    </xf>
    <xf numFmtId="0" fontId="6" fillId="3" borderId="25" xfId="0" applyFont="1" applyFill="1" applyBorder="1" applyAlignment="1">
      <alignment horizontal="left" vertical="center" indent="5"/>
    </xf>
    <xf numFmtId="0" fontId="5" fillId="4" borderId="3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left" vertical="center" indent="5"/>
    </xf>
    <xf numFmtId="0" fontId="4" fillId="3" borderId="12" xfId="0" applyFont="1" applyFill="1" applyBorder="1" applyAlignment="1">
      <alignment horizontal="left" vertical="center" indent="5"/>
    </xf>
    <xf numFmtId="0" fontId="4" fillId="3" borderId="5" xfId="0" applyFont="1" applyFill="1" applyBorder="1" applyAlignment="1">
      <alignment horizontal="left" vertical="center" indent="5"/>
    </xf>
    <xf numFmtId="0" fontId="4" fillId="3" borderId="9" xfId="0" applyFont="1" applyFill="1" applyBorder="1" applyAlignment="1">
      <alignment horizontal="left" vertical="center" indent="5"/>
    </xf>
    <xf numFmtId="0" fontId="4" fillId="3" borderId="6" xfId="0" applyFont="1" applyFill="1" applyBorder="1" applyAlignment="1">
      <alignment horizontal="left" vertical="center" indent="5"/>
    </xf>
    <xf numFmtId="0" fontId="4" fillId="3" borderId="13" xfId="0" applyFont="1" applyFill="1" applyBorder="1" applyAlignment="1">
      <alignment horizontal="left" vertical="center" indent="5"/>
    </xf>
    <xf numFmtId="0" fontId="4" fillId="3" borderId="19" xfId="0" applyFont="1" applyFill="1" applyBorder="1" applyAlignment="1">
      <alignment horizontal="left" vertical="center" indent="5"/>
    </xf>
    <xf numFmtId="0" fontId="4" fillId="3" borderId="23" xfId="0" applyFont="1" applyFill="1" applyBorder="1" applyAlignment="1">
      <alignment horizontal="left" vertical="center" indent="5"/>
    </xf>
  </cellXfs>
  <cellStyles count="2">
    <cellStyle name="Neutro" xfId="1" builtinId="28"/>
    <cellStyle name="Normal" xfId="0" builtinId="0"/>
  </cellStyles>
  <dxfs count="0"/>
  <tableStyles count="0" defaultTableStyle="TableStyleMedium2" defaultPivotStyle="PivotStyleLight16"/>
  <colors>
    <mruColors>
      <color rgb="FF04343C"/>
      <color rgb="FF2ACB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198120</xdr:colOff>
      <xdr:row>2</xdr:row>
      <xdr:rowOff>53339</xdr:rowOff>
    </xdr:from>
    <xdr:to>
      <xdr:col>3</xdr:col>
      <xdr:colOff>1051814</xdr:colOff>
      <xdr:row>14</xdr:row>
      <xdr:rowOff>101690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E4346AE-F087-796B-F4AE-899E396AED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7720" y="419099"/>
          <a:ext cx="5738114" cy="22429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8D695-18AF-483D-B4D2-5A68B40DE41E}">
  <dimension ref="A1:G68"/>
  <sheetViews>
    <sheetView showGridLines="0" showRowColHeaders="0" tabSelected="1" topLeftCell="A15" workbookViewId="0">
      <selection activeCell="E31" sqref="E31"/>
    </sheetView>
  </sheetViews>
  <sheetFormatPr defaultColWidth="0" defaultRowHeight="14.4" zeroHeight="1" x14ac:dyDescent="0.3"/>
  <cols>
    <col min="1" max="1" width="8.88671875" customWidth="1"/>
    <col min="2" max="2" width="31.21875" bestFit="1" customWidth="1"/>
    <col min="3" max="3" width="40" style="1" customWidth="1"/>
    <col min="4" max="4" width="17.21875" bestFit="1" customWidth="1"/>
    <col min="5" max="5" width="11" customWidth="1"/>
    <col min="6" max="6" width="14.33203125" hidden="1" customWidth="1"/>
    <col min="7" max="7" width="10.5546875" hidden="1" customWidth="1"/>
    <col min="8" max="9" width="8.88671875" hidden="1" customWidth="1"/>
    <col min="10" max="16384" width="8.88671875" hidden="1"/>
  </cols>
  <sheetData>
    <row r="1" x14ac:dyDescent="0.3"/>
    <row r="2" x14ac:dyDescent="0.3"/>
    <row r="3" x14ac:dyDescent="0.3"/>
    <row r="4" x14ac:dyDescent="0.3"/>
    <row r="5" x14ac:dyDescent="0.3"/>
    <row r="6" x14ac:dyDescent="0.3"/>
    <row r="7" x14ac:dyDescent="0.3"/>
    <row r="8" x14ac:dyDescent="0.3"/>
    <row r="9" x14ac:dyDescent="0.3"/>
    <row r="10" x14ac:dyDescent="0.3"/>
    <row r="11" x14ac:dyDescent="0.3"/>
    <row r="12" x14ac:dyDescent="0.3"/>
    <row r="13" x14ac:dyDescent="0.3"/>
    <row r="14" x14ac:dyDescent="0.3"/>
    <row r="15" x14ac:dyDescent="0.3"/>
    <row r="16" x14ac:dyDescent="0.3"/>
    <row r="17" spans="2:4" ht="18.600000000000001" thickBot="1" x14ac:dyDescent="0.35">
      <c r="B17" s="40" t="s">
        <v>9</v>
      </c>
      <c r="C17" s="41"/>
      <c r="D17" s="42"/>
    </row>
    <row r="18" spans="2:4" ht="16.2" thickBot="1" x14ac:dyDescent="0.35">
      <c r="B18" s="46" t="s">
        <v>14</v>
      </c>
      <c r="C18" s="47"/>
      <c r="D18" s="16">
        <v>3000</v>
      </c>
    </row>
    <row r="19" spans="2:4" ht="16.2" thickBot="1" x14ac:dyDescent="0.35">
      <c r="B19" s="48" t="s">
        <v>10</v>
      </c>
      <c r="C19" s="49"/>
      <c r="D19" s="17">
        <v>8.9999999999999993E-3</v>
      </c>
    </row>
    <row r="20" spans="2:4" ht="16.2" thickBot="1" x14ac:dyDescent="0.35">
      <c r="B20" s="50" t="s">
        <v>15</v>
      </c>
      <c r="C20" s="51"/>
      <c r="D20" s="18">
        <f>D18*30%</f>
        <v>900</v>
      </c>
    </row>
    <row r="21" spans="2:4" ht="15" thickBot="1" x14ac:dyDescent="0.35"/>
    <row r="22" spans="2:4" ht="18.600000000000001" thickBot="1" x14ac:dyDescent="0.35">
      <c r="B22" s="43" t="s">
        <v>0</v>
      </c>
      <c r="C22" s="44"/>
      <c r="D22" s="45"/>
    </row>
    <row r="23" spans="2:4" ht="16.2" thickBot="1" x14ac:dyDescent="0.35">
      <c r="B23" s="52" t="s">
        <v>13</v>
      </c>
      <c r="C23" s="53"/>
      <c r="D23" s="16">
        <v>200</v>
      </c>
    </row>
    <row r="24" spans="2:4" ht="16.2" thickBot="1" x14ac:dyDescent="0.35">
      <c r="B24" s="34" t="s">
        <v>1</v>
      </c>
      <c r="C24" s="35"/>
      <c r="D24" s="19">
        <v>2</v>
      </c>
    </row>
    <row r="25" spans="2:4" ht="16.2" thickBot="1" x14ac:dyDescent="0.35">
      <c r="B25" s="34" t="s">
        <v>11</v>
      </c>
      <c r="C25" s="35"/>
      <c r="D25" s="17">
        <v>0.02</v>
      </c>
    </row>
    <row r="26" spans="2:4" ht="16.2" thickBot="1" x14ac:dyDescent="0.35">
      <c r="B26" s="36" t="s">
        <v>2</v>
      </c>
      <c r="C26" s="37"/>
      <c r="D26" s="9">
        <f>FV(Taxa_mensal,qtd_anos*12,Investimento*-1)</f>
        <v>6084.3724947522505</v>
      </c>
    </row>
    <row r="27" spans="2:4" ht="16.2" thickBot="1" x14ac:dyDescent="0.35">
      <c r="B27" s="38" t="s">
        <v>12</v>
      </c>
      <c r="C27" s="39"/>
      <c r="D27" s="11">
        <f>patrimonio_acumulado*rendimento_carteira</f>
        <v>54.759352452770251</v>
      </c>
    </row>
    <row r="28" spans="2:4" ht="15" thickBot="1" x14ac:dyDescent="0.35">
      <c r="D28" t="s">
        <v>16</v>
      </c>
    </row>
    <row r="29" spans="2:4" ht="18.600000000000001" thickBot="1" x14ac:dyDescent="0.35">
      <c r="B29" s="4" t="s">
        <v>7</v>
      </c>
      <c r="C29" s="12"/>
      <c r="D29" s="5" t="s">
        <v>8</v>
      </c>
    </row>
    <row r="30" spans="2:4" ht="16.2" thickBot="1" x14ac:dyDescent="0.35">
      <c r="B30" s="13" t="s">
        <v>3</v>
      </c>
      <c r="C30" s="6">
        <f>FV(Taxa_mensal,$A48*12,Investimento*-1)</f>
        <v>6084.3724947522505</v>
      </c>
      <c r="D30" s="7">
        <f>C30*rendimento_carteira</f>
        <v>54.759352452770251</v>
      </c>
    </row>
    <row r="31" spans="2:4" ht="16.2" thickBot="1" x14ac:dyDescent="0.35">
      <c r="B31" s="14" t="s">
        <v>4</v>
      </c>
      <c r="C31" s="8">
        <f>FV(Taxa_mensal,$A49*12,Investimento*-1)</f>
        <v>22810.307883654103</v>
      </c>
      <c r="D31" s="9">
        <f>C31*rendimento_carteira</f>
        <v>205.29277095288691</v>
      </c>
    </row>
    <row r="32" spans="2:4" ht="16.2" thickBot="1" x14ac:dyDescent="0.35">
      <c r="B32" s="14" t="s">
        <v>5</v>
      </c>
      <c r="C32" s="8">
        <f>FV(Taxa_mensal,$A50*12,Investimento*-1)</f>
        <v>97651.630342017423</v>
      </c>
      <c r="D32" s="9">
        <f>C32*rendimento_carteira</f>
        <v>878.86467307815678</v>
      </c>
    </row>
    <row r="33" spans="1:4" ht="16.2" thickBot="1" x14ac:dyDescent="0.35">
      <c r="B33" s="15" t="s">
        <v>6</v>
      </c>
      <c r="C33" s="10">
        <f>FV(Taxa_mensal,$A51*12,Investimento*-1)</f>
        <v>1148887.3515294371</v>
      </c>
      <c r="D33" s="11">
        <f>C33*rendimento_carteira</f>
        <v>10339.986163764934</v>
      </c>
    </row>
    <row r="34" spans="1:4" x14ac:dyDescent="0.3">
      <c r="B34" s="3"/>
    </row>
    <row r="35" spans="1:4" x14ac:dyDescent="0.3">
      <c r="B35" s="3"/>
    </row>
    <row r="36" spans="1:4" x14ac:dyDescent="0.3">
      <c r="B36" s="20" t="s">
        <v>21</v>
      </c>
      <c r="C36" s="23" t="s">
        <v>18</v>
      </c>
      <c r="D36" s="21"/>
    </row>
    <row r="37" spans="1:4" x14ac:dyDescent="0.3">
      <c r="B37" s="22" t="s">
        <v>20</v>
      </c>
      <c r="C37" s="24">
        <v>300</v>
      </c>
      <c r="D37" s="22"/>
    </row>
    <row r="38" spans="1:4" x14ac:dyDescent="0.3"/>
    <row r="39" spans="1:4" x14ac:dyDescent="0.3">
      <c r="B39" s="28" t="s">
        <v>22</v>
      </c>
      <c r="C39" s="28" t="s">
        <v>23</v>
      </c>
      <c r="D39" s="28" t="s">
        <v>24</v>
      </c>
    </row>
    <row r="40" spans="1:4" x14ac:dyDescent="0.3">
      <c r="B40" s="3" t="s">
        <v>25</v>
      </c>
      <c r="C40" s="29">
        <f>VLOOKUP($C$36&amp;"-"&amp;B40,Planilha2!$B:$E,4,FALSE)</f>
        <v>0.5</v>
      </c>
      <c r="D40" s="30">
        <f>C40*$C$37</f>
        <v>150</v>
      </c>
    </row>
    <row r="41" spans="1:4" x14ac:dyDescent="0.3">
      <c r="B41" s="3" t="s">
        <v>26</v>
      </c>
      <c r="C41" s="29">
        <f>VLOOKUP($C$36&amp;"-"&amp;B41,Planilha2!$B:$E,4,FALSE)</f>
        <v>0.1</v>
      </c>
      <c r="D41" s="30">
        <f t="shared" ref="D41:D45" si="0">C41*$C$37</f>
        <v>30</v>
      </c>
    </row>
    <row r="42" spans="1:4" x14ac:dyDescent="0.3">
      <c r="B42" s="3" t="s">
        <v>27</v>
      </c>
      <c r="C42" s="29">
        <f>VLOOKUP($C$36&amp;"-"&amp;B42,Planilha2!$B:$E,4,FALSE)</f>
        <v>0.05</v>
      </c>
      <c r="D42" s="30">
        <f t="shared" si="0"/>
        <v>15</v>
      </c>
    </row>
    <row r="43" spans="1:4" x14ac:dyDescent="0.3">
      <c r="B43" s="3" t="s">
        <v>28</v>
      </c>
      <c r="C43" s="29">
        <f>VLOOKUP($C$36&amp;"-"&amp;B43,Planilha2!$B:$E,4,FALSE)</f>
        <v>0.05</v>
      </c>
      <c r="D43" s="30">
        <f t="shared" si="0"/>
        <v>15</v>
      </c>
    </row>
    <row r="44" spans="1:4" x14ac:dyDescent="0.3">
      <c r="B44" s="3" t="s">
        <v>29</v>
      </c>
      <c r="C44" s="29">
        <f>VLOOKUP($C$36&amp;"-"&amp;B44,Planilha2!$B:$E,4,FALSE)</f>
        <v>0.2</v>
      </c>
      <c r="D44" s="30">
        <f t="shared" si="0"/>
        <v>60</v>
      </c>
    </row>
    <row r="45" spans="1:4" x14ac:dyDescent="0.3">
      <c r="B45" s="3" t="s">
        <v>30</v>
      </c>
      <c r="C45" s="29">
        <f>VLOOKUP($C$36&amp;"-"&amp;B45,Planilha2!$B:$E,4,FALSE)</f>
        <v>0.1</v>
      </c>
      <c r="D45" s="30">
        <f t="shared" si="0"/>
        <v>30</v>
      </c>
    </row>
    <row r="46" spans="1:4" x14ac:dyDescent="0.3">
      <c r="B46" s="25"/>
      <c r="C46" s="26"/>
      <c r="D46" s="27">
        <f>SUM(D40:D45)</f>
        <v>300</v>
      </c>
    </row>
    <row r="47" spans="1:4" x14ac:dyDescent="0.3">
      <c r="D47" t="s">
        <v>16</v>
      </c>
    </row>
    <row r="48" spans="1:4" x14ac:dyDescent="0.3">
      <c r="A48" s="2">
        <v>2</v>
      </c>
    </row>
    <row r="49" spans="1:1" hidden="1" x14ac:dyDescent="0.3">
      <c r="A49" s="2">
        <v>5</v>
      </c>
    </row>
    <row r="50" spans="1:1" hidden="1" x14ac:dyDescent="0.3">
      <c r="A50" s="2">
        <v>10</v>
      </c>
    </row>
    <row r="51" spans="1:1" hidden="1" x14ac:dyDescent="0.3">
      <c r="A51" s="2">
        <v>20</v>
      </c>
    </row>
    <row r="68" x14ac:dyDescent="0.3"/>
  </sheetData>
  <mergeCells count="10">
    <mergeCell ref="B24:C24"/>
    <mergeCell ref="B25:C25"/>
    <mergeCell ref="B26:C26"/>
    <mergeCell ref="B27:C27"/>
    <mergeCell ref="B17:D17"/>
    <mergeCell ref="B22:D22"/>
    <mergeCell ref="B18:C18"/>
    <mergeCell ref="B19:C19"/>
    <mergeCell ref="B20:C20"/>
    <mergeCell ref="B23:C23"/>
  </mergeCells>
  <dataValidations count="1">
    <dataValidation type="list" allowBlank="1" showInputMessage="1" showErrorMessage="1" sqref="C36" xr:uid="{A78335EE-2C79-430A-8F32-FC73EA62047D}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3F1C0-BCE5-4047-9410-C218A5561022}">
  <dimension ref="B2:E20"/>
  <sheetViews>
    <sheetView workbookViewId="0">
      <selection activeCell="E11" sqref="E11"/>
    </sheetView>
  </sheetViews>
  <sheetFormatPr defaultRowHeight="14.4" x14ac:dyDescent="0.3"/>
  <cols>
    <col min="2" max="2" width="31.6640625" bestFit="1" customWidth="1"/>
    <col min="3" max="3" width="13.77734375" bestFit="1" customWidth="1"/>
    <col min="4" max="4" width="19.44140625" bestFit="1" customWidth="1"/>
  </cols>
  <sheetData>
    <row r="2" spans="2:5" x14ac:dyDescent="0.3">
      <c r="B2" t="s">
        <v>32</v>
      </c>
      <c r="C2" t="s">
        <v>17</v>
      </c>
      <c r="D2" t="s">
        <v>22</v>
      </c>
      <c r="E2" s="3" t="s">
        <v>31</v>
      </c>
    </row>
    <row r="3" spans="2:5" x14ac:dyDescent="0.3">
      <c r="B3" t="str">
        <f>C3&amp;"-"&amp;D3</f>
        <v>CONSERVADOR-PAPEL</v>
      </c>
      <c r="C3" t="s">
        <v>19</v>
      </c>
      <c r="D3" s="3" t="s">
        <v>25</v>
      </c>
      <c r="E3" s="29">
        <v>0.3</v>
      </c>
    </row>
    <row r="4" spans="2:5" x14ac:dyDescent="0.3">
      <c r="B4" t="str">
        <f t="shared" ref="B4:B20" si="0">C4&amp;"-"&amp;D4</f>
        <v>CONSERVADOR-TIJOLO</v>
      </c>
      <c r="C4" t="s">
        <v>19</v>
      </c>
      <c r="D4" s="3" t="s">
        <v>26</v>
      </c>
      <c r="E4" s="29">
        <v>0.5</v>
      </c>
    </row>
    <row r="5" spans="2:5" x14ac:dyDescent="0.3">
      <c r="B5" t="str">
        <f t="shared" si="0"/>
        <v>CONSERVADOR-HÍBRIDOS</v>
      </c>
      <c r="C5" t="s">
        <v>19</v>
      </c>
      <c r="D5" s="3" t="s">
        <v>27</v>
      </c>
      <c r="E5" s="29">
        <v>0.1</v>
      </c>
    </row>
    <row r="6" spans="2:5" x14ac:dyDescent="0.3">
      <c r="B6" t="str">
        <f t="shared" si="0"/>
        <v>CONSERVADOR-FOFS</v>
      </c>
      <c r="C6" t="s">
        <v>19</v>
      </c>
      <c r="D6" s="3" t="s">
        <v>28</v>
      </c>
      <c r="E6" s="29">
        <v>0.1</v>
      </c>
    </row>
    <row r="7" spans="2:5" x14ac:dyDescent="0.3">
      <c r="B7" t="str">
        <f t="shared" si="0"/>
        <v>CONSERVADOR-DESENVOLVIMENTO</v>
      </c>
      <c r="C7" t="s">
        <v>19</v>
      </c>
      <c r="D7" s="3" t="s">
        <v>29</v>
      </c>
      <c r="E7" s="29">
        <v>0</v>
      </c>
    </row>
    <row r="8" spans="2:5" ht="15" thickBot="1" x14ac:dyDescent="0.35">
      <c r="B8" s="31" t="str">
        <f t="shared" si="0"/>
        <v>CONSERVADOR-HOTELARIAS</v>
      </c>
      <c r="C8" s="31" t="s">
        <v>19</v>
      </c>
      <c r="D8" s="32" t="s">
        <v>30</v>
      </c>
      <c r="E8" s="33">
        <v>0</v>
      </c>
    </row>
    <row r="9" spans="2:5" x14ac:dyDescent="0.3">
      <c r="B9" t="str">
        <f t="shared" si="0"/>
        <v>MODERADO-PAPEL</v>
      </c>
      <c r="C9" t="s">
        <v>33</v>
      </c>
      <c r="D9" s="3" t="s">
        <v>25</v>
      </c>
      <c r="E9" s="29">
        <v>0.32</v>
      </c>
    </row>
    <row r="10" spans="2:5" x14ac:dyDescent="0.3">
      <c r="B10" t="str">
        <f t="shared" si="0"/>
        <v>MODERADO-TIJOLO</v>
      </c>
      <c r="C10" t="s">
        <v>33</v>
      </c>
      <c r="D10" s="3" t="s">
        <v>26</v>
      </c>
      <c r="E10" s="29">
        <v>0.35</v>
      </c>
    </row>
    <row r="11" spans="2:5" x14ac:dyDescent="0.3">
      <c r="B11" t="str">
        <f t="shared" si="0"/>
        <v>MODERADO-HÍBRIDOS</v>
      </c>
      <c r="C11" t="s">
        <v>33</v>
      </c>
      <c r="D11" s="3" t="s">
        <v>27</v>
      </c>
      <c r="E11" s="29">
        <v>0.08</v>
      </c>
    </row>
    <row r="12" spans="2:5" x14ac:dyDescent="0.3">
      <c r="B12" t="str">
        <f t="shared" si="0"/>
        <v>MODERADO-FOFS</v>
      </c>
      <c r="C12" t="s">
        <v>33</v>
      </c>
      <c r="D12" s="3" t="s">
        <v>28</v>
      </c>
      <c r="E12" s="29">
        <v>0.05</v>
      </c>
    </row>
    <row r="13" spans="2:5" x14ac:dyDescent="0.3">
      <c r="B13" t="str">
        <f t="shared" si="0"/>
        <v>MODERADO-DESENVOLVIMENTO</v>
      </c>
      <c r="C13" t="s">
        <v>33</v>
      </c>
      <c r="D13" s="3" t="s">
        <v>29</v>
      </c>
      <c r="E13" s="29">
        <v>0.1</v>
      </c>
    </row>
    <row r="14" spans="2:5" ht="15" thickBot="1" x14ac:dyDescent="0.35">
      <c r="B14" s="31" t="str">
        <f t="shared" si="0"/>
        <v>MODERADO-HOTELARIAS</v>
      </c>
      <c r="C14" s="31" t="s">
        <v>33</v>
      </c>
      <c r="D14" s="32" t="s">
        <v>30</v>
      </c>
      <c r="E14" s="33">
        <v>0.1</v>
      </c>
    </row>
    <row r="15" spans="2:5" x14ac:dyDescent="0.3">
      <c r="B15" t="str">
        <f t="shared" si="0"/>
        <v>AGRESSIVO-PAPEL</v>
      </c>
      <c r="C15" t="s">
        <v>18</v>
      </c>
      <c r="D15" s="3" t="s">
        <v>25</v>
      </c>
      <c r="E15" s="29">
        <v>0.5</v>
      </c>
    </row>
    <row r="16" spans="2:5" x14ac:dyDescent="0.3">
      <c r="B16" t="str">
        <f t="shared" si="0"/>
        <v>AGRESSIVO-TIJOLO</v>
      </c>
      <c r="C16" t="s">
        <v>18</v>
      </c>
      <c r="D16" s="3" t="s">
        <v>26</v>
      </c>
      <c r="E16" s="29">
        <v>0.1</v>
      </c>
    </row>
    <row r="17" spans="2:5" x14ac:dyDescent="0.3">
      <c r="B17" t="str">
        <f t="shared" si="0"/>
        <v>AGRESSIVO-HÍBRIDOS</v>
      </c>
      <c r="C17" t="s">
        <v>18</v>
      </c>
      <c r="D17" s="3" t="s">
        <v>27</v>
      </c>
      <c r="E17" s="29">
        <v>0.05</v>
      </c>
    </row>
    <row r="18" spans="2:5" x14ac:dyDescent="0.3">
      <c r="B18" t="str">
        <f t="shared" si="0"/>
        <v>AGRESSIVO-FOFS</v>
      </c>
      <c r="C18" t="s">
        <v>18</v>
      </c>
      <c r="D18" s="3" t="s">
        <v>28</v>
      </c>
      <c r="E18" s="29">
        <v>0.05</v>
      </c>
    </row>
    <row r="19" spans="2:5" x14ac:dyDescent="0.3">
      <c r="B19" t="str">
        <f t="shared" si="0"/>
        <v>AGRESSIVO-DESENVOLVIMENTO</v>
      </c>
      <c r="C19" t="s">
        <v>18</v>
      </c>
      <c r="D19" s="3" t="s">
        <v>29</v>
      </c>
      <c r="E19" s="29">
        <v>0.2</v>
      </c>
    </row>
    <row r="20" spans="2:5" x14ac:dyDescent="0.3">
      <c r="B20" t="str">
        <f t="shared" si="0"/>
        <v>AGRESSIVO-HOTELARIAS</v>
      </c>
      <c r="C20" t="s">
        <v>18</v>
      </c>
      <c r="D20" s="3" t="s">
        <v>30</v>
      </c>
      <c r="E20" s="29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8</vt:i4>
      </vt:variant>
    </vt:vector>
  </HeadingPairs>
  <TitlesOfParts>
    <vt:vector size="10" baseType="lpstr">
      <vt:lpstr>Planilha1</vt:lpstr>
      <vt:lpstr>Planilha2</vt:lpstr>
      <vt:lpstr>dividendos_mensais</vt:lpstr>
      <vt:lpstr>Investimento</vt:lpstr>
      <vt:lpstr>patrimonio_acumulado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Renan Nunes</dc:creator>
  <cp:lastModifiedBy>Renan Nunes</cp:lastModifiedBy>
  <dcterms:created xsi:type="dcterms:W3CDTF">2026-05-29T14:33:18Z</dcterms:created>
  <dcterms:modified xsi:type="dcterms:W3CDTF">2026-05-30T00:57:13Z</dcterms:modified>
</cp:coreProperties>
</file>